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50" windowWidth="19200" windowHeight="8760"/>
  </bookViews>
  <sheets>
    <sheet name="Start" sheetId="1" r:id="rId1"/>
    <sheet name="Gästlista" sheetId="3" r:id="rId2"/>
    <sheet name="Till köket" sheetId="4" r:id="rId3"/>
    <sheet name="Bordsplacering" sheetId="9" r:id="rId4"/>
    <sheet name="Specialkost" sheetId="12" state="hidden" r:id="rId5"/>
    <sheet name="Till tryck" sheetId="13" r:id="rId6"/>
  </sheets>
  <functionGroups builtInGroupCount="17"/>
  <definedNames>
    <definedName name="_xlnm._FilterDatabase" localSheetId="1" hidden="1">Gästlista!$A$1:$D$1</definedName>
  </definedNames>
  <calcPr calcId="144525"/>
</workbook>
</file>

<file path=xl/calcChain.xml><?xml version="1.0" encoding="utf-8"?>
<calcChain xmlns="http://schemas.openxmlformats.org/spreadsheetml/2006/main">
  <c r="C6" i="1" l="1"/>
  <c r="C6" i="4" l="1"/>
  <c r="C4" i="4"/>
  <c r="A1" i="9"/>
  <c r="C13" i="4" l="1"/>
  <c r="C12" i="4"/>
  <c r="C11" i="4"/>
  <c r="C10" i="4"/>
  <c r="C9" i="4"/>
</calcChain>
</file>

<file path=xl/sharedStrings.xml><?xml version="1.0" encoding="utf-8"?>
<sst xmlns="http://schemas.openxmlformats.org/spreadsheetml/2006/main" count="105" uniqueCount="60">
  <si>
    <t>Huvudmeny</t>
  </si>
  <si>
    <t>Namn</t>
  </si>
  <si>
    <t>Dryck</t>
  </si>
  <si>
    <t>Allergi</t>
  </si>
  <si>
    <t>Gruppering</t>
  </si>
  <si>
    <t>Rött vin</t>
  </si>
  <si>
    <t>Vitt vin</t>
  </si>
  <si>
    <t>Öl</t>
  </si>
  <si>
    <t>Läsk</t>
  </si>
  <si>
    <t>Rå morot</t>
  </si>
  <si>
    <t>Vegetarianer</t>
  </si>
  <si>
    <t>Grille</t>
  </si>
  <si>
    <t>Pkveganer</t>
  </si>
  <si>
    <t>B</t>
  </si>
  <si>
    <t>A</t>
  </si>
  <si>
    <t>MED</t>
  </si>
  <si>
    <t>C</t>
  </si>
  <si>
    <t>Yi</t>
  </si>
  <si>
    <t>Antal gäster</t>
  </si>
  <si>
    <t>Antal gäster:</t>
  </si>
  <si>
    <t>Antal bord</t>
  </si>
  <si>
    <t>Till Köket</t>
  </si>
  <si>
    <t>Antal dryck</t>
  </si>
  <si>
    <t>Cider</t>
  </si>
  <si>
    <t>Antal platser</t>
  </si>
  <si>
    <t>Namnge sittningen:</t>
  </si>
  <si>
    <t>Utplacerade</t>
  </si>
  <si>
    <t>Specialkost &amp; Alleriger</t>
  </si>
  <si>
    <t>Stenfrukt</t>
  </si>
  <si>
    <t>Sittningschema m.h.a McWrynnExcel</t>
  </si>
  <si>
    <t>Person1</t>
  </si>
  <si>
    <t>Person2</t>
  </si>
  <si>
    <t>Person3</t>
  </si>
  <si>
    <t>Person4</t>
  </si>
  <si>
    <t>Person5</t>
  </si>
  <si>
    <t>Person6</t>
  </si>
  <si>
    <t>Person7</t>
  </si>
  <si>
    <t>Person8</t>
  </si>
  <si>
    <t>Person9</t>
  </si>
  <si>
    <t>Person10</t>
  </si>
  <si>
    <t>Person11</t>
  </si>
  <si>
    <t>Person12</t>
  </si>
  <si>
    <t>Person13</t>
  </si>
  <si>
    <t>Person14</t>
  </si>
  <si>
    <t>Person15</t>
  </si>
  <si>
    <t>Person16</t>
  </si>
  <si>
    <t>Person17</t>
  </si>
  <si>
    <t>Person18</t>
  </si>
  <si>
    <t>Person19</t>
  </si>
  <si>
    <t>Person20</t>
  </si>
  <si>
    <t>Person21</t>
  </si>
  <si>
    <t>Person22</t>
  </si>
  <si>
    <t>Person23</t>
  </si>
  <si>
    <t>Person24</t>
  </si>
  <si>
    <t>Namn här!</t>
  </si>
  <si>
    <t>Laktos</t>
  </si>
  <si>
    <t>Gluten</t>
  </si>
  <si>
    <t>Vegan</t>
  </si>
  <si>
    <t>Vegetarian</t>
  </si>
  <si>
    <t>Lök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</si>
</sst>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4"/>
      <color theme="1"/>
      <name val="Morris Roman"/>
    </font>
    <font>
      <sz val="20"/>
      <color theme="1"/>
      <name val="McWrynn"/>
    </font>
    <font>
      <sz val="14"/>
      <color theme="1"/>
      <name val="McWrynn"/>
    </font>
    <font>
      <b/>
      <sz val="14"/>
      <color theme="1"/>
      <name val="McWrynn"/>
    </font>
    <font>
      <u/>
      <sz val="14"/>
      <color theme="1"/>
      <name val="McWrynn"/>
    </font>
    <font>
      <sz val="12"/>
      <color theme="1"/>
      <name val="McWrynn"/>
    </font>
    <font>
      <b/>
      <sz val="20"/>
      <color theme="1"/>
      <name val="McWrynn"/>
    </font>
    <font>
      <sz val="12"/>
      <color rgb="FF000000"/>
      <name val="McWrynn"/>
    </font>
    <font>
      <sz val="14"/>
      <color rgb="FF000000"/>
      <name val="McWrynn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0" borderId="0" xfId="0" applyFont="1"/>
    <xf numFmtId="0" fontId="6" fillId="2" borderId="0" xfId="0" applyFont="1" applyFill="1"/>
    <xf numFmtId="0" fontId="10" fillId="2" borderId="0" xfId="0" applyFont="1" applyFill="1"/>
    <xf numFmtId="0" fontId="3" fillId="2" borderId="0" xfId="0" applyFont="1" applyFill="1" applyAlignment="1">
      <alignment horizontal="right"/>
    </xf>
    <xf numFmtId="0" fontId="7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left" indent="1"/>
    </xf>
    <xf numFmtId="0" fontId="3" fillId="3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0" fontId="3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2"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19</xdr:row>
          <xdr:rowOff>19050</xdr:rowOff>
        </xdr:from>
        <xdr:to>
          <xdr:col>2</xdr:col>
          <xdr:colOff>314325</xdr:colOff>
          <xdr:row>20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McWrynn"/>
                </a:rPr>
                <a:t>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16</xdr:row>
          <xdr:rowOff>95250</xdr:rowOff>
        </xdr:from>
        <xdr:to>
          <xdr:col>2</xdr:col>
          <xdr:colOff>314325</xdr:colOff>
          <xdr:row>18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McWrynn"/>
                </a:rPr>
                <a:t>Byt plats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13</xdr:row>
          <xdr:rowOff>95250</xdr:rowOff>
        </xdr:from>
        <xdr:to>
          <xdr:col>1</xdr:col>
          <xdr:colOff>314325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McWrynn"/>
                </a:rPr>
                <a:t>Skapa bord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13</xdr:row>
          <xdr:rowOff>95250</xdr:rowOff>
        </xdr:from>
        <xdr:to>
          <xdr:col>2</xdr:col>
          <xdr:colOff>533400</xdr:colOff>
          <xdr:row>15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McWrynn"/>
                </a:rPr>
                <a:t>Rensa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21</xdr:row>
          <xdr:rowOff>161925</xdr:rowOff>
        </xdr:from>
        <xdr:to>
          <xdr:col>2</xdr:col>
          <xdr:colOff>542925</xdr:colOff>
          <xdr:row>23</xdr:row>
          <xdr:rowOff>95250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McWrynn"/>
                </a:rPr>
                <a:t>Skapa PDF:er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23</xdr:row>
          <xdr:rowOff>171450</xdr:rowOff>
        </xdr:from>
        <xdr:to>
          <xdr:col>2</xdr:col>
          <xdr:colOff>142875</xdr:colOff>
          <xdr:row>27</xdr:row>
          <xdr:rowOff>123825</xdr:rowOff>
        </xdr:to>
        <xdr:sp macro="" textlink="">
          <xdr:nvSpPr>
            <xdr:cNvPr id="1094" name="Object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C28"/>
  <sheetViews>
    <sheetView tabSelected="1" zoomScaleNormal="100" workbookViewId="0">
      <selection activeCell="D26" sqref="D26"/>
    </sheetView>
  </sheetViews>
  <sheetFormatPr defaultRowHeight="15" x14ac:dyDescent="0.25"/>
  <cols>
    <col min="1" max="2" width="8.85546875" customWidth="1"/>
    <col min="12" max="12" width="8.85546875" customWidth="1"/>
  </cols>
  <sheetData>
    <row r="1" spans="1:3" x14ac:dyDescent="0.25">
      <c r="A1" s="7" t="s">
        <v>0</v>
      </c>
      <c r="B1" s="7"/>
      <c r="C1" s="7"/>
    </row>
    <row r="2" spans="1:3" x14ac:dyDescent="0.25">
      <c r="A2" s="8"/>
      <c r="B2" s="8"/>
      <c r="C2" s="8"/>
    </row>
    <row r="3" spans="1:3" ht="17.45" x14ac:dyDescent="0.3">
      <c r="A3" s="10" t="s">
        <v>25</v>
      </c>
      <c r="B3" s="10"/>
      <c r="C3" s="10"/>
    </row>
    <row r="4" spans="1:3" ht="18" x14ac:dyDescent="0.25">
      <c r="A4" s="11" t="s">
        <v>54</v>
      </c>
      <c r="B4" s="11"/>
      <c r="C4" s="11"/>
    </row>
    <row r="5" spans="1:3" ht="14.45" x14ac:dyDescent="0.3">
      <c r="A5" s="1"/>
      <c r="B5" s="1"/>
      <c r="C5" s="1"/>
    </row>
    <row r="6" spans="1:3" ht="18" x14ac:dyDescent="0.25">
      <c r="A6" s="9" t="s">
        <v>18</v>
      </c>
      <c r="B6" s="9"/>
      <c r="C6" s="2">
        <f>COUNTA(Gästlista!A:A) - 1</f>
        <v>24</v>
      </c>
    </row>
    <row r="7" spans="1:3" ht="14.45" x14ac:dyDescent="0.3">
      <c r="A7" s="1"/>
      <c r="B7" s="1"/>
      <c r="C7" s="1"/>
    </row>
    <row r="8" spans="1:3" ht="17.45" x14ac:dyDescent="0.3">
      <c r="A8" s="9" t="s">
        <v>20</v>
      </c>
      <c r="B8" s="9"/>
      <c r="C8" s="2">
        <v>0</v>
      </c>
    </row>
    <row r="9" spans="1:3" ht="14.45" x14ac:dyDescent="0.3">
      <c r="A9" s="1"/>
      <c r="B9" s="1"/>
      <c r="C9" s="1"/>
    </row>
    <row r="10" spans="1:3" ht="17.45" x14ac:dyDescent="0.3">
      <c r="A10" s="9" t="s">
        <v>24</v>
      </c>
      <c r="B10" s="9"/>
      <c r="C10" s="6">
        <v>0</v>
      </c>
    </row>
    <row r="11" spans="1:3" ht="14.45" x14ac:dyDescent="0.3">
      <c r="A11" s="1"/>
      <c r="B11" s="1"/>
      <c r="C11" s="5"/>
    </row>
    <row r="12" spans="1:3" ht="17.45" x14ac:dyDescent="0.3">
      <c r="A12" s="9" t="s">
        <v>26</v>
      </c>
      <c r="B12" s="9"/>
      <c r="C12" s="6">
        <v>0</v>
      </c>
    </row>
    <row r="13" spans="1:3" ht="14.45" x14ac:dyDescent="0.3">
      <c r="A13" s="1"/>
      <c r="B13" s="1"/>
      <c r="C13" s="1"/>
    </row>
    <row r="14" spans="1:3" ht="14.45" x14ac:dyDescent="0.3">
      <c r="A14" s="1"/>
      <c r="B14" s="1"/>
      <c r="C14" s="1"/>
    </row>
    <row r="15" spans="1:3" ht="14.45" x14ac:dyDescent="0.3">
      <c r="A15" s="1"/>
      <c r="B15" s="1"/>
      <c r="C15" s="1"/>
    </row>
    <row r="16" spans="1:3" ht="14.45" x14ac:dyDescent="0.3">
      <c r="A16" s="1"/>
      <c r="B16" s="1"/>
      <c r="C16" s="1"/>
    </row>
    <row r="17" spans="1:3" ht="14.45" x14ac:dyDescent="0.3">
      <c r="A17" s="1"/>
      <c r="B17" s="1"/>
      <c r="C17" s="1"/>
    </row>
    <row r="18" spans="1:3" ht="14.45" x14ac:dyDescent="0.3">
      <c r="A18" s="1"/>
      <c r="B18" s="1"/>
      <c r="C18" s="1"/>
    </row>
    <row r="19" spans="1:3" ht="17.45" x14ac:dyDescent="0.3">
      <c r="A19" s="10"/>
      <c r="B19" s="10"/>
      <c r="C19" s="10"/>
    </row>
    <row r="20" spans="1:3" ht="17.45" x14ac:dyDescent="0.3">
      <c r="A20" s="10"/>
      <c r="B20" s="10"/>
      <c r="C20" s="10"/>
    </row>
    <row r="21" spans="1:3" ht="14.45" x14ac:dyDescent="0.3">
      <c r="A21" s="1"/>
      <c r="B21" s="1"/>
      <c r="C21" s="1"/>
    </row>
    <row r="22" spans="1:3" ht="14.45" x14ac:dyDescent="0.3">
      <c r="A22" s="5" t="b">
        <v>1</v>
      </c>
      <c r="B22" s="1"/>
      <c r="C22" s="1"/>
    </row>
    <row r="23" spans="1:3" ht="14.45" x14ac:dyDescent="0.3">
      <c r="A23" s="1"/>
      <c r="B23" s="1"/>
      <c r="C23" s="1"/>
    </row>
    <row r="24" spans="1:3" ht="14.45" x14ac:dyDescent="0.3">
      <c r="A24" s="1"/>
      <c r="B24" s="1"/>
      <c r="C24" s="1"/>
    </row>
    <row r="25" spans="1:3" ht="14.45" x14ac:dyDescent="0.3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</sheetData>
  <mergeCells count="9">
    <mergeCell ref="A1:C2"/>
    <mergeCell ref="A6:B6"/>
    <mergeCell ref="A12:B12"/>
    <mergeCell ref="A19:C19"/>
    <mergeCell ref="A20:C20"/>
    <mergeCell ref="A10:B10"/>
    <mergeCell ref="A8:B8"/>
    <mergeCell ref="A3:C3"/>
    <mergeCell ref="A4:C4"/>
  </mergeCells>
  <pageMargins left="0.23622047244094491" right="0.23622047244094491" top="0.74803149606299213" bottom="0.74803149606299213" header="0.31496062992125984" footer="0.31496062992125984"/>
  <pageSetup paperSize="9" orientation="landscape" verticalDpi="300" r:id="rId1"/>
  <drawing r:id="rId2"/>
  <legacyDrawing r:id="rId3"/>
  <oleObjects>
    <mc:AlternateContent xmlns:mc="http://schemas.openxmlformats.org/markup-compatibility/2006">
      <mc:Choice Requires="x14">
        <oleObject progId="FoxitPhantomPDF.Document" dvAspect="DVASPECT_ICON" shapeId="1094" r:id="rId4">
          <objectPr defaultSize="0" r:id="rId5">
            <anchor moveWithCells="1">
              <from>
                <xdr:col>0</xdr:col>
                <xdr:colOff>447675</xdr:colOff>
                <xdr:row>23</xdr:row>
                <xdr:rowOff>171450</xdr:rowOff>
              </from>
              <to>
                <xdr:col>2</xdr:col>
                <xdr:colOff>142875</xdr:colOff>
                <xdr:row>27</xdr:row>
                <xdr:rowOff>123825</xdr:rowOff>
              </to>
            </anchor>
          </objectPr>
        </oleObject>
      </mc:Choice>
      <mc:Fallback>
        <oleObject progId="FoxitPhantomPDF.Document" dvAspect="DVASPECT_ICON" shapeId="1094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IShell">
                <anchor moveWithCells="1" sizeWithCells="1">
                  <from>
                    <xdr:col>0</xdr:col>
                    <xdr:colOff>342900</xdr:colOff>
                    <xdr:row>19</xdr:row>
                    <xdr:rowOff>19050</xdr:rowOff>
                  </from>
                  <to>
                    <xdr:col>2</xdr:col>
                    <xdr:colOff>314325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witchGuests">
                <anchor moveWithCells="1" sizeWithCells="1">
                  <from>
                    <xdr:col>0</xdr:col>
                    <xdr:colOff>342900</xdr:colOff>
                    <xdr:row>16</xdr:row>
                    <xdr:rowOff>95250</xdr:rowOff>
                  </from>
                  <to>
                    <xdr:col>2</xdr:col>
                    <xdr:colOff>314325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reateTable">
                <anchor moveWithCells="1" sizeWithCells="1">
                  <from>
                    <xdr:col>0</xdr:col>
                    <xdr:colOff>95250</xdr:colOff>
                    <xdr:row>13</xdr:row>
                    <xdr:rowOff>95250</xdr:rowOff>
                  </from>
                  <to>
                    <xdr:col>1</xdr:col>
                    <xdr:colOff>314325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ClearTables" altText="Rensa Bord">
                <anchor moveWithCells="1" sizeWithCells="1">
                  <from>
                    <xdr:col>1</xdr:col>
                    <xdr:colOff>428625</xdr:colOff>
                    <xdr:row>13</xdr:row>
                    <xdr:rowOff>95250</xdr:rowOff>
                  </from>
                  <to>
                    <xdr:col>2</xdr:col>
                    <xdr:colOff>533400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0" name="Button 66">
              <controlPr defaultSize="0" print="0" autoFill="0" autoPict="0" macro="[0]!makePDFs">
                <anchor moveWithCells="1" sizeWithCells="1">
                  <from>
                    <xdr:col>0</xdr:col>
                    <xdr:colOff>123825</xdr:colOff>
                    <xdr:row>21</xdr:row>
                    <xdr:rowOff>161925</xdr:rowOff>
                  </from>
                  <to>
                    <xdr:col>2</xdr:col>
                    <xdr:colOff>542925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D25"/>
  <sheetViews>
    <sheetView workbookViewId="0">
      <pane ySplit="1" topLeftCell="A2" activePane="bottomLeft" state="frozen"/>
      <selection pane="bottomLeft" activeCell="H12" sqref="H12"/>
    </sheetView>
  </sheetViews>
  <sheetFormatPr defaultRowHeight="15" x14ac:dyDescent="0.25"/>
  <cols>
    <col min="1" max="1" width="21.28515625" customWidth="1"/>
    <col min="2" max="2" width="24" customWidth="1"/>
    <col min="3" max="3" width="22.7109375" customWidth="1"/>
    <col min="4" max="4" width="22.42578125" customWidth="1"/>
  </cols>
  <sheetData>
    <row r="1" spans="1:4" ht="17.45" x14ac:dyDescent="0.3">
      <c r="A1" s="3" t="s">
        <v>1</v>
      </c>
      <c r="B1" s="3" t="s">
        <v>2</v>
      </c>
      <c r="C1" s="3" t="s">
        <v>3</v>
      </c>
      <c r="D1" s="3" t="s">
        <v>4</v>
      </c>
    </row>
    <row r="2" spans="1:4" x14ac:dyDescent="0.25">
      <c r="A2" t="s">
        <v>30</v>
      </c>
      <c r="B2" t="s">
        <v>8</v>
      </c>
      <c r="D2" t="s">
        <v>13</v>
      </c>
    </row>
    <row r="3" spans="1:4" x14ac:dyDescent="0.25">
      <c r="A3" t="s">
        <v>31</v>
      </c>
      <c r="B3" t="s">
        <v>7</v>
      </c>
      <c r="D3" t="s">
        <v>15</v>
      </c>
    </row>
    <row r="4" spans="1:4" x14ac:dyDescent="0.25">
      <c r="A4" t="s">
        <v>32</v>
      </c>
      <c r="B4" t="s">
        <v>5</v>
      </c>
      <c r="D4" t="s">
        <v>16</v>
      </c>
    </row>
    <row r="5" spans="1:4" x14ac:dyDescent="0.25">
      <c r="A5" t="s">
        <v>33</v>
      </c>
      <c r="B5" t="s">
        <v>7</v>
      </c>
      <c r="C5" t="s">
        <v>55</v>
      </c>
      <c r="D5" t="s">
        <v>16</v>
      </c>
    </row>
    <row r="6" spans="1:4" x14ac:dyDescent="0.25">
      <c r="A6" t="s">
        <v>34</v>
      </c>
      <c r="B6" t="s">
        <v>7</v>
      </c>
      <c r="D6" t="s">
        <v>14</v>
      </c>
    </row>
    <row r="7" spans="1:4" ht="14.45" x14ac:dyDescent="0.3">
      <c r="A7" t="s">
        <v>35</v>
      </c>
      <c r="B7" t="s">
        <v>6</v>
      </c>
      <c r="D7" t="s">
        <v>15</v>
      </c>
    </row>
    <row r="8" spans="1:4" x14ac:dyDescent="0.25">
      <c r="A8" t="s">
        <v>36</v>
      </c>
      <c r="B8" t="s">
        <v>7</v>
      </c>
      <c r="D8" t="s">
        <v>16</v>
      </c>
    </row>
    <row r="9" spans="1:4" ht="14.45" x14ac:dyDescent="0.3">
      <c r="A9" t="s">
        <v>37</v>
      </c>
      <c r="B9" t="s">
        <v>6</v>
      </c>
      <c r="D9" t="s">
        <v>17</v>
      </c>
    </row>
    <row r="10" spans="1:4" x14ac:dyDescent="0.25">
      <c r="A10" t="s">
        <v>38</v>
      </c>
      <c r="B10" t="s">
        <v>5</v>
      </c>
      <c r="D10" t="s">
        <v>17</v>
      </c>
    </row>
    <row r="11" spans="1:4" ht="14.45" x14ac:dyDescent="0.3">
      <c r="A11" t="s">
        <v>39</v>
      </c>
      <c r="B11" t="s">
        <v>23</v>
      </c>
      <c r="C11" t="s">
        <v>56</v>
      </c>
      <c r="D11" t="s">
        <v>15</v>
      </c>
    </row>
    <row r="12" spans="1:4" x14ac:dyDescent="0.25">
      <c r="A12" t="s">
        <v>40</v>
      </c>
      <c r="B12" t="s">
        <v>5</v>
      </c>
      <c r="D12" t="s">
        <v>13</v>
      </c>
    </row>
    <row r="13" spans="1:4" ht="14.45" x14ac:dyDescent="0.3">
      <c r="A13" t="s">
        <v>41</v>
      </c>
      <c r="B13" t="s">
        <v>6</v>
      </c>
      <c r="C13" t="s">
        <v>57</v>
      </c>
      <c r="D13" t="s">
        <v>14</v>
      </c>
    </row>
    <row r="14" spans="1:4" x14ac:dyDescent="0.25">
      <c r="A14" t="s">
        <v>42</v>
      </c>
      <c r="B14" t="s">
        <v>7</v>
      </c>
      <c r="C14" t="s">
        <v>58</v>
      </c>
      <c r="D14" t="s">
        <v>14</v>
      </c>
    </row>
    <row r="15" spans="1:4" x14ac:dyDescent="0.25">
      <c r="A15" t="s">
        <v>43</v>
      </c>
      <c r="B15" t="s">
        <v>5</v>
      </c>
      <c r="D15" t="s">
        <v>17</v>
      </c>
    </row>
    <row r="16" spans="1:4" x14ac:dyDescent="0.25">
      <c r="A16" t="s">
        <v>44</v>
      </c>
      <c r="B16" t="s">
        <v>7</v>
      </c>
      <c r="D16" t="s">
        <v>17</v>
      </c>
    </row>
    <row r="17" spans="1:4" ht="14.45" x14ac:dyDescent="0.3">
      <c r="A17" t="s">
        <v>45</v>
      </c>
      <c r="B17" t="s">
        <v>6</v>
      </c>
      <c r="D17" t="s">
        <v>16</v>
      </c>
    </row>
    <row r="18" spans="1:4" x14ac:dyDescent="0.25">
      <c r="A18" t="s">
        <v>46</v>
      </c>
      <c r="B18" t="s">
        <v>7</v>
      </c>
      <c r="D18" t="s">
        <v>16</v>
      </c>
    </row>
    <row r="19" spans="1:4" x14ac:dyDescent="0.25">
      <c r="A19" t="s">
        <v>47</v>
      </c>
      <c r="B19" t="s">
        <v>5</v>
      </c>
      <c r="D19" t="s">
        <v>14</v>
      </c>
    </row>
    <row r="20" spans="1:4" x14ac:dyDescent="0.25">
      <c r="A20" t="s">
        <v>48</v>
      </c>
      <c r="B20" t="s">
        <v>7</v>
      </c>
      <c r="C20" t="s">
        <v>59</v>
      </c>
      <c r="D20" t="s">
        <v>13</v>
      </c>
    </row>
    <row r="21" spans="1:4" x14ac:dyDescent="0.25">
      <c r="A21" t="s">
        <v>49</v>
      </c>
      <c r="B21" t="s">
        <v>7</v>
      </c>
      <c r="D21" t="s">
        <v>14</v>
      </c>
    </row>
    <row r="22" spans="1:4" x14ac:dyDescent="0.25">
      <c r="A22" t="s">
        <v>50</v>
      </c>
      <c r="B22" t="s">
        <v>5</v>
      </c>
      <c r="D22" t="s">
        <v>13</v>
      </c>
    </row>
    <row r="23" spans="1:4" x14ac:dyDescent="0.25">
      <c r="A23" t="s">
        <v>51</v>
      </c>
      <c r="B23" t="s">
        <v>7</v>
      </c>
      <c r="D23" t="s">
        <v>16</v>
      </c>
    </row>
    <row r="24" spans="1:4" ht="14.45" x14ac:dyDescent="0.3">
      <c r="A24" t="s">
        <v>52</v>
      </c>
      <c r="B24" t="s">
        <v>23</v>
      </c>
      <c r="D24" t="s">
        <v>15</v>
      </c>
    </row>
    <row r="25" spans="1:4" ht="14.45" x14ac:dyDescent="0.3">
      <c r="A25" t="s">
        <v>53</v>
      </c>
      <c r="B25" t="s">
        <v>23</v>
      </c>
      <c r="D25" t="s">
        <v>17</v>
      </c>
    </row>
  </sheetData>
  <pageMargins left="0.7" right="0.7" top="0.75" bottom="0.75" header="0.3" footer="0.3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24"/>
  <sheetViews>
    <sheetView workbookViewId="0">
      <selection activeCell="J10" sqref="J10"/>
    </sheetView>
  </sheetViews>
  <sheetFormatPr defaultRowHeight="15" x14ac:dyDescent="0.25"/>
  <sheetData>
    <row r="1" spans="1:3" x14ac:dyDescent="0.25">
      <c r="A1" s="14" t="s">
        <v>21</v>
      </c>
      <c r="B1" s="14"/>
      <c r="C1" s="14"/>
    </row>
    <row r="2" spans="1:3" x14ac:dyDescent="0.25">
      <c r="A2" s="15"/>
      <c r="B2" s="15"/>
      <c r="C2" s="15"/>
    </row>
    <row r="3" spans="1:3" ht="14.45" x14ac:dyDescent="0.3">
      <c r="A3" s="1"/>
      <c r="B3" s="1"/>
      <c r="C3" s="1"/>
    </row>
    <row r="4" spans="1:3" ht="18" x14ac:dyDescent="0.25">
      <c r="A4" s="9" t="s">
        <v>19</v>
      </c>
      <c r="B4" s="9"/>
      <c r="C4" s="2">
        <f>Start!C6</f>
        <v>24</v>
      </c>
    </row>
    <row r="5" spans="1:3" ht="14.45" x14ac:dyDescent="0.3">
      <c r="A5" s="1"/>
      <c r="B5" s="1"/>
      <c r="C5" s="1"/>
    </row>
    <row r="6" spans="1:3" ht="17.45" x14ac:dyDescent="0.3">
      <c r="A6" s="9" t="s">
        <v>20</v>
      </c>
      <c r="B6" s="9"/>
      <c r="C6" s="2">
        <f>Start!C8</f>
        <v>0</v>
      </c>
    </row>
    <row r="7" spans="1:3" ht="14.45" x14ac:dyDescent="0.3">
      <c r="A7" s="1"/>
      <c r="B7" s="1"/>
      <c r="C7" s="1"/>
    </row>
    <row r="8" spans="1:3" ht="17.45" x14ac:dyDescent="0.3">
      <c r="A8" s="16" t="s">
        <v>22</v>
      </c>
      <c r="B8" s="16"/>
      <c r="C8" s="1"/>
    </row>
    <row r="9" spans="1:3" ht="15.75" x14ac:dyDescent="0.25">
      <c r="A9" s="12" t="s">
        <v>5</v>
      </c>
      <c r="B9" s="12"/>
      <c r="C9" s="4">
        <f>COUNTIF(Gästlista!B:B,"Rött vin")</f>
        <v>6</v>
      </c>
    </row>
    <row r="10" spans="1:3" ht="15.6" x14ac:dyDescent="0.3">
      <c r="A10" s="12" t="s">
        <v>6</v>
      </c>
      <c r="B10" s="12"/>
      <c r="C10" s="4">
        <f>COUNTIF(Gästlista!B:B,"Vitt vin")</f>
        <v>4</v>
      </c>
    </row>
    <row r="11" spans="1:3" ht="15.75" x14ac:dyDescent="0.25">
      <c r="A11" s="12" t="s">
        <v>7</v>
      </c>
      <c r="B11" s="12"/>
      <c r="C11" s="4">
        <f>COUNTIF(Gästlista!B:B,"Öl")</f>
        <v>10</v>
      </c>
    </row>
    <row r="12" spans="1:3" ht="15.6" x14ac:dyDescent="0.3">
      <c r="A12" s="12" t="s">
        <v>23</v>
      </c>
      <c r="B12" s="12"/>
      <c r="C12" s="4">
        <f>COUNTIF(Gästlista!B:B,"Cider")</f>
        <v>3</v>
      </c>
    </row>
    <row r="13" spans="1:3" ht="15.75" x14ac:dyDescent="0.25">
      <c r="A13" s="12" t="s">
        <v>8</v>
      </c>
      <c r="B13" s="12"/>
      <c r="C13" s="4">
        <f>COUNTIF(Gästlista!B:B,"Läsk")</f>
        <v>1</v>
      </c>
    </row>
    <row r="14" spans="1:3" ht="17.45" x14ac:dyDescent="0.3">
      <c r="A14" s="13"/>
      <c r="B14" s="13"/>
      <c r="C14" s="1"/>
    </row>
    <row r="15" spans="1:3" ht="14.45" x14ac:dyDescent="0.3">
      <c r="A15" s="1"/>
      <c r="B15" s="1"/>
      <c r="C15" s="1"/>
    </row>
    <row r="16" spans="1:3" ht="14.45" x14ac:dyDescent="0.3">
      <c r="A16" s="1"/>
      <c r="B16" s="1"/>
      <c r="C16" s="1"/>
    </row>
    <row r="17" spans="1:3" ht="14.45" x14ac:dyDescent="0.3">
      <c r="A17" s="1"/>
      <c r="B17" s="1"/>
      <c r="C17" s="1"/>
    </row>
    <row r="18" spans="1:3" ht="14.45" x14ac:dyDescent="0.3">
      <c r="A18" s="1"/>
      <c r="B18" s="1"/>
      <c r="C18" s="1"/>
    </row>
    <row r="19" spans="1:3" ht="14.45" x14ac:dyDescent="0.3">
      <c r="A19" s="1"/>
      <c r="B19" s="1"/>
      <c r="C19" s="1"/>
    </row>
    <row r="20" spans="1:3" ht="14.45" x14ac:dyDescent="0.3">
      <c r="A20" s="1"/>
      <c r="B20" s="1"/>
      <c r="C20" s="1"/>
    </row>
    <row r="21" spans="1:3" ht="14.45" x14ac:dyDescent="0.3">
      <c r="A21" s="1"/>
      <c r="B21" s="1"/>
      <c r="C21" s="1"/>
    </row>
    <row r="22" spans="1:3" ht="14.45" x14ac:dyDescent="0.3">
      <c r="A22" s="1"/>
      <c r="B22" s="1"/>
      <c r="C22" s="1"/>
    </row>
    <row r="23" spans="1:3" ht="14.45" x14ac:dyDescent="0.3">
      <c r="A23" s="1"/>
      <c r="B23" s="1"/>
      <c r="C23" s="1"/>
    </row>
    <row r="24" spans="1:3" ht="14.45" x14ac:dyDescent="0.3">
      <c r="A24" s="1"/>
      <c r="B24" s="1"/>
      <c r="C24" s="1"/>
    </row>
  </sheetData>
  <mergeCells count="10">
    <mergeCell ref="A1:C2"/>
    <mergeCell ref="A4:B4"/>
    <mergeCell ref="A6:B6"/>
    <mergeCell ref="A8:B8"/>
    <mergeCell ref="A10:B10"/>
    <mergeCell ref="A13:B13"/>
    <mergeCell ref="A12:B12"/>
    <mergeCell ref="A14:B14"/>
    <mergeCell ref="A9:B9"/>
    <mergeCell ref="A11:B11"/>
  </mergeCells>
  <conditionalFormatting sqref="A26:C1048576 BI1:XFD1048576">
    <cfRule type="expression" dxfId="1" priority="11716">
      <formula>"'Till köket'!L23+$L$23:$L$23.linestyle = xlContinuous"</formula>
    </cfRule>
  </conditionalFormatting>
  <conditionalFormatting sqref="A25:C25">
    <cfRule type="expression" dxfId="0" priority="11715">
      <formula>"'Till köket'!L23+$L$23:$L$23.linestyle = xlContinuous"</formula>
    </cfRule>
  </conditionalFormatting>
  <pageMargins left="0.7" right="0.7" top="0.75" bottom="0.75" header="0.3" footer="0.3"/>
  <pageSetup paperSize="9" scale="7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C6"/>
  <sheetViews>
    <sheetView workbookViewId="0">
      <selection activeCell="P10" sqref="P10"/>
    </sheetView>
  </sheetViews>
  <sheetFormatPr defaultRowHeight="15" x14ac:dyDescent="0.25"/>
  <cols>
    <col min="8" max="10" width="8.85546875" customWidth="1"/>
    <col min="11" max="11" width="9" bestFit="1" customWidth="1"/>
    <col min="12" max="13" width="8.85546875" customWidth="1"/>
    <col min="15" max="16" width="8.85546875" customWidth="1"/>
  </cols>
  <sheetData>
    <row r="1" spans="1:3" x14ac:dyDescent="0.25">
      <c r="A1" s="14" t="str">
        <f>Start!A4</f>
        <v>Namn här!</v>
      </c>
      <c r="B1" s="14"/>
      <c r="C1" s="14"/>
    </row>
    <row r="2" spans="1:3" x14ac:dyDescent="0.25">
      <c r="A2" s="15"/>
      <c r="B2" s="15"/>
      <c r="C2" s="15"/>
    </row>
    <row r="3" spans="1:3" ht="14.45" customHeight="1" x14ac:dyDescent="0.25">
      <c r="A3" s="17" t="s">
        <v>29</v>
      </c>
      <c r="B3" s="17"/>
      <c r="C3" s="17"/>
    </row>
    <row r="4" spans="1:3" ht="17.45" customHeight="1" x14ac:dyDescent="0.25">
      <c r="A4" s="18"/>
      <c r="B4" s="18"/>
      <c r="C4" s="18"/>
    </row>
    <row r="5" spans="1:3" ht="14.45" customHeight="1" x14ac:dyDescent="0.25">
      <c r="A5" s="18"/>
      <c r="B5" s="18"/>
      <c r="C5" s="18"/>
    </row>
    <row r="6" spans="1:3" ht="18" customHeight="1" x14ac:dyDescent="0.3"/>
  </sheetData>
  <mergeCells count="2">
    <mergeCell ref="A1:C2"/>
    <mergeCell ref="A3:C5"/>
  </mergeCells>
  <pageMargins left="0.7" right="0.7" top="0.75" bottom="0.75" header="0.3" footer="0.3"/>
  <pageSetup paperSize="9" scale="73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7"/>
  <sheetViews>
    <sheetView workbookViewId="0">
      <pane ySplit="1" topLeftCell="A2" activePane="bottomLeft" state="frozen"/>
      <selection pane="bottomLeft" activeCell="A23" sqref="A23"/>
    </sheetView>
  </sheetViews>
  <sheetFormatPr defaultColWidth="0" defaultRowHeight="15" x14ac:dyDescent="0.25"/>
  <cols>
    <col min="1" max="1" width="199.42578125" customWidth="1"/>
    <col min="2" max="16384" width="8.85546875" hidden="1"/>
  </cols>
  <sheetData>
    <row r="1" spans="1:1" ht="17.45" x14ac:dyDescent="0.3">
      <c r="A1" s="3" t="s">
        <v>27</v>
      </c>
    </row>
    <row r="2" spans="1:1" ht="14.45" x14ac:dyDescent="0.3">
      <c r="A2" t="s">
        <v>3</v>
      </c>
    </row>
    <row r="3" spans="1:1" x14ac:dyDescent="0.25">
      <c r="A3" t="s">
        <v>9</v>
      </c>
    </row>
    <row r="4" spans="1:1" ht="14.45" x14ac:dyDescent="0.3">
      <c r="A4" t="s">
        <v>28</v>
      </c>
    </row>
    <row r="5" spans="1:1" ht="14.45" x14ac:dyDescent="0.3">
      <c r="A5" t="s">
        <v>12</v>
      </c>
    </row>
    <row r="6" spans="1:1" ht="14.45" x14ac:dyDescent="0.3">
      <c r="A6" t="s">
        <v>10</v>
      </c>
    </row>
    <row r="7" spans="1:1" ht="14.45" x14ac:dyDescent="0.3">
      <c r="A7" t="s">
        <v>11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22" sqref="D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</vt:lpstr>
      <vt:lpstr>Gästlista</vt:lpstr>
      <vt:lpstr>Till köket</vt:lpstr>
      <vt:lpstr>Bordsplacering</vt:lpstr>
      <vt:lpstr>Specialkost</vt:lpstr>
      <vt:lpstr>Till tryck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Christoffer Johannesson</dc:creator>
  <cp:lastModifiedBy>Christoffer Johannesson</cp:lastModifiedBy>
  <cp:lastPrinted>2018-07-12T13:56:56Z</cp:lastPrinted>
  <dcterms:created xsi:type="dcterms:W3CDTF">2018-06-04T20:03:24Z</dcterms:created>
  <dcterms:modified xsi:type="dcterms:W3CDTF">2018-08-21T20:11:58Z</dcterms:modified>
</cp:coreProperties>
</file>